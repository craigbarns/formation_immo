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 compa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Bien à estimer — [ADRESSE]</t>
        </is>
      </c>
    </row>
    <row r="2">
      <c r="A2" t="inlineStr">
        <is>
          <t>Surface habitable (m²)</t>
        </is>
      </c>
      <c r="B2" s="1" t="n">
        <v>78</v>
      </c>
    </row>
    <row r="3">
      <c r="A3" t="inlineStr">
        <is>
          <t>Type</t>
        </is>
      </c>
      <c r="B3" t="inlineStr">
        <is>
          <t>Appartement T4</t>
        </is>
      </c>
    </row>
    <row r="5">
      <c r="A5" t="inlineStr">
        <is>
          <t>Comparables vendus</t>
        </is>
      </c>
    </row>
    <row r="6">
      <c r="A6" s="2" t="inlineStr">
        <is>
          <t>Réf</t>
        </is>
      </c>
      <c r="B6" s="2" t="inlineStr">
        <is>
          <t>Adresse</t>
        </is>
      </c>
      <c r="C6" s="2" t="inlineStr">
        <is>
          <t>Vente (€)</t>
        </is>
      </c>
      <c r="D6" s="2" t="inlineStr">
        <is>
          <t>Surface m²</t>
        </is>
      </c>
      <c r="E6" s="2" t="inlineStr">
        <is>
          <t>Prix/m²</t>
        </is>
      </c>
      <c r="F6" s="2" t="inlineStr">
        <is>
          <t>Ajustement %</t>
        </is>
      </c>
      <c r="G6" s="2" t="inlineStr">
        <is>
          <t>Prix/m² ajusté</t>
        </is>
      </c>
    </row>
    <row r="7">
      <c r="A7" t="inlineStr">
        <is>
          <t>C1</t>
        </is>
      </c>
      <c r="B7" t="inlineStr">
        <is>
          <t>Lyon 6e — Brotteaux</t>
        </is>
      </c>
      <c r="C7" t="n">
        <v>485000</v>
      </c>
      <c r="D7" t="n">
        <v>76</v>
      </c>
      <c r="E7">
        <f>C7/D7</f>
        <v/>
      </c>
      <c r="F7" t="n">
        <v>0</v>
      </c>
      <c r="G7">
        <f>E7*(1+F7)</f>
        <v/>
      </c>
    </row>
    <row r="8">
      <c r="A8" t="inlineStr">
        <is>
          <t>C2</t>
        </is>
      </c>
      <c r="B8" t="inlineStr">
        <is>
          <t>Lyon 6e — Masséna</t>
        </is>
      </c>
      <c r="C8" t="n">
        <v>510000</v>
      </c>
      <c r="D8" t="n">
        <v>82</v>
      </c>
      <c r="E8">
        <f>C8/D8</f>
        <v/>
      </c>
      <c r="F8" t="n">
        <v>-0.02</v>
      </c>
      <c r="G8">
        <f>E8*(1+F8)</f>
        <v/>
      </c>
    </row>
    <row r="9">
      <c r="A9" t="inlineStr">
        <is>
          <t>C3</t>
        </is>
      </c>
      <c r="B9" t="inlineStr">
        <is>
          <t>Lyon 6e — Jean Macé</t>
        </is>
      </c>
      <c r="C9" t="n">
        <v>465000</v>
      </c>
      <c r="D9" t="n">
        <v>74</v>
      </c>
      <c r="E9">
        <f>C9/D9</f>
        <v/>
      </c>
      <c r="F9" t="n">
        <v>0.03</v>
      </c>
      <c r="G9">
        <f>E9*(1+F9)</f>
        <v/>
      </c>
    </row>
    <row r="11">
      <c r="A11" t="inlineStr">
        <is>
          <t>Moyenne prix/m² ajusté (€)</t>
        </is>
      </c>
      <c r="B11" s="1">
        <f>AVERAGE(G7:G9)</f>
        <v/>
      </c>
    </row>
    <row r="12">
      <c r="A12" t="inlineStr">
        <is>
          <t>Fourchette basse (€)</t>
        </is>
      </c>
      <c r="B12" s="1">
        <f>B11*B2*0.97</f>
        <v/>
      </c>
    </row>
    <row r="13">
      <c r="A13" t="inlineStr">
        <is>
          <t>Prix conseillé (€)</t>
        </is>
      </c>
      <c r="B13" s="1">
        <f>B11*B2</f>
        <v/>
      </c>
    </row>
    <row r="14">
      <c r="A14" t="inlineStr">
        <is>
          <t>Fourchette haute (€)</t>
        </is>
      </c>
      <c r="B14" s="1">
        <f>B11*B2*1.03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