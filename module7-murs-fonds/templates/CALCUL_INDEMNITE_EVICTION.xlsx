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eu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Methodologie" sheetId="3" state="visible" r:id="rId3"/>
    <sheet xmlns:r="http://schemas.openxmlformats.org/officeDocument/2006/relationships" name="Simulateu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€"/>
    <numFmt numFmtId="165" formatCode="0.0%"/>
    <numFmt numFmtId="166" formatCode="0.0x"/>
  </numFmts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  <sz val="11"/>
    </font>
    <font>
      <b val="1"/>
      <sz val="11"/>
    </font>
    <font>
      <b val="1"/>
      <i val="1"/>
      <color rgb="001A237E"/>
      <sz val="11"/>
    </font>
    <font>
      <b val="1"/>
      <color rgb="001B5E20"/>
      <sz val="14"/>
    </font>
    <font>
      <b val="1"/>
      <color rgb="001B5E20"/>
      <sz val="16"/>
    </font>
    <font>
      <i val="1"/>
      <color rgb="00666666"/>
      <sz val="9"/>
    </font>
    <font>
      <i val="1"/>
      <color rgb="001A237E"/>
      <sz val="10"/>
    </font>
  </fonts>
  <fills count="13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3949AB"/>
        <bgColor rgb="003949AB"/>
      </patternFill>
    </fill>
    <fill>
      <patternFill patternType="solid">
        <fgColor rgb="00D1C4E9"/>
        <bgColor rgb="00D1C4E9"/>
      </patternFill>
    </fill>
    <fill>
      <patternFill patternType="solid">
        <fgColor rgb="00E8EAF6"/>
        <bgColor rgb="00E8EAF6"/>
      </patternFill>
    </fill>
    <fill>
      <patternFill patternType="solid">
        <fgColor rgb="00FFECB3"/>
        <bgColor rgb="00FFECB3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C8E6C9"/>
        <bgColor rgb="00C8E6C9"/>
      </patternFill>
    </fill>
    <fill>
      <patternFill patternType="solid">
        <fgColor rgb="00A5D6A7"/>
        <bgColor rgb="00A5D6A7"/>
      </patternFill>
    </fill>
    <fill>
      <patternFill patternType="solid">
        <fgColor rgb="0081C784"/>
        <bgColor rgb="0081C784"/>
      </patternFill>
    </fill>
    <fill>
      <patternFill patternType="solid">
        <fgColor rgb="00BBDEFB"/>
        <bgColor rgb="00BBDE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0" borderId="1" pivotButton="0" quotePrefix="0" xfId="0"/>
    <xf numFmtId="0" fontId="0" fillId="0" borderId="1" pivotButton="0" quotePrefix="0" xfId="0"/>
    <xf numFmtId="0" fontId="4" fillId="5" borderId="0" pivotButton="0" quotePrefix="0" xfId="0"/>
    <xf numFmtId="0" fontId="4" fillId="4" borderId="1" applyAlignment="1" pivotButton="0" quotePrefix="0" xfId="0">
      <alignment horizontal="center"/>
    </xf>
    <xf numFmtId="164" fontId="0" fillId="0" borderId="1" pivotButton="0" quotePrefix="0" xfId="0"/>
    <xf numFmtId="165" fontId="0" fillId="0" borderId="1" pivotButton="0" quotePrefix="0" xfId="0"/>
    <xf numFmtId="9" fontId="0" fillId="0" borderId="1" pivotButton="0" quotePrefix="0" xfId="0"/>
    <xf numFmtId="0" fontId="4" fillId="8" borderId="1" pivotButton="0" quotePrefix="0" xfId="0"/>
    <xf numFmtId="164" fontId="4" fillId="8" borderId="1" pivotButton="0" quotePrefix="0" xfId="0"/>
    <xf numFmtId="165" fontId="4" fillId="8" borderId="1" pivotButton="0" quotePrefix="0" xfId="0"/>
    <xf numFmtId="9" fontId="4" fillId="8" borderId="1" pivotButton="0" quotePrefix="0" xfId="0"/>
    <xf numFmtId="0" fontId="4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4" fillId="9" borderId="1" pivotButton="0" quotePrefix="0" xfId="0"/>
    <xf numFmtId="164" fontId="4" fillId="0" borderId="1" pivotButton="0" quotePrefix="0" xfId="0"/>
    <xf numFmtId="0" fontId="4" fillId="12" borderId="1" pivotButton="0" quotePrefix="0" xfId="0"/>
    <xf numFmtId="0" fontId="4" fillId="10" borderId="1" pivotButton="0" quotePrefix="0" xfId="0"/>
    <xf numFmtId="164" fontId="6" fillId="10" borderId="1" pivotButton="0" quotePrefix="0" xfId="0"/>
    <xf numFmtId="2" fontId="0" fillId="0" borderId="1" pivotButton="0" quotePrefix="0" xfId="0"/>
    <xf numFmtId="0" fontId="4" fillId="11" borderId="1" pivotButton="0" quotePrefix="0" xfId="0"/>
    <xf numFmtId="164" fontId="6" fillId="11" borderId="1" pivotButton="0" quotePrefix="0" xfId="0"/>
    <xf numFmtId="0" fontId="0" fillId="6" borderId="1" pivotButton="0" quotePrefix="0" xfId="0"/>
    <xf numFmtId="164" fontId="0" fillId="6" borderId="1" pivotButton="0" quotePrefix="0" xfId="0"/>
    <xf numFmtId="166" fontId="0" fillId="0" borderId="1" pivotButton="0" quotePrefix="0" xfId="0"/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6" borderId="1" pivotButton="0" quotePrefix="0" xfId="0"/>
    <xf numFmtId="0" fontId="5" fillId="7" borderId="0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164" fontId="0" fillId="7" borderId="1" applyAlignment="1" pivotButton="0" quotePrefix="0" xfId="0">
      <alignment horizontal="center"/>
    </xf>
    <xf numFmtId="1" fontId="0" fillId="7" borderId="1" applyAlignment="1" pivotButton="0" quotePrefix="0" xfId="0">
      <alignment horizontal="center"/>
    </xf>
    <xf numFmtId="2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4" fillId="9" borderId="1" pivotButton="0" quotePrefix="0" xfId="0"/>
    <xf numFmtId="164" fontId="6" fillId="9" borderId="1" pivotButton="0" quotePrefix="0" xfId="0"/>
    <xf numFmtId="164" fontId="7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5" customWidth="1" min="3" max="3"/>
    <col width="18" customWidth="1" min="4" max="4"/>
    <col width="18" customWidth="1" min="5" max="5"/>
    <col width="18" customWidth="1" min="6" max="6"/>
  </cols>
  <sheetData>
    <row r="1" ht="35" customHeight="1">
      <c r="A1" s="1" t="inlineStr">
        <is>
          <t>CALCULATEUR D'INDEMNITE D'EVICTION</t>
        </is>
      </c>
    </row>
    <row r="2">
      <c r="A2" s="2" t="inlineStr">
        <is>
          <t>Conforme aux articles L.145-14 a L.145-17 du Code de commerce - Decret n°53-960 du 30 septembre 1953</t>
        </is>
      </c>
    </row>
    <row r="3">
      <c r="A3" s="3" t="inlineStr">
        <is>
          <t>Exemple : Boulangerie - 8 ans d'activite - CA moyen 320 000 EUR/an</t>
        </is>
      </c>
    </row>
    <row r="5">
      <c r="A5" s="4" t="inlineStr">
        <is>
          <t>1. IDENTIFICATION DE L'AFFAIRE</t>
        </is>
      </c>
    </row>
    <row r="6">
      <c r="A6" s="5" t="inlineStr">
        <is>
          <t>Nom du commerce</t>
        </is>
      </c>
      <c r="B6" s="6" t="inlineStr">
        <is>
          <t>Au Bon Pain</t>
        </is>
      </c>
      <c r="C6" s="6" t="n"/>
      <c r="D6" s="6" t="n"/>
      <c r="E6" s="6" t="n"/>
      <c r="F6" s="6" t="n"/>
    </row>
    <row r="7">
      <c r="A7" s="5" t="inlineStr">
        <is>
          <t>Activite</t>
        </is>
      </c>
      <c r="B7" s="6" t="inlineStr">
        <is>
          <t>Boulangerie - Patisserie - Salon de the</t>
        </is>
      </c>
      <c r="C7" s="6" t="n"/>
      <c r="D7" s="6" t="n"/>
      <c r="E7" s="6" t="n"/>
      <c r="F7" s="6" t="n"/>
    </row>
    <row r="8">
      <c r="A8" s="5" t="inlineStr">
        <is>
          <t>Adresse</t>
        </is>
      </c>
      <c r="B8" s="6" t="inlineStr">
        <is>
          <t>25 avenue de la Gare, 69003 Lyon</t>
        </is>
      </c>
      <c r="C8" s="6" t="n"/>
      <c r="D8" s="6" t="n"/>
      <c r="E8" s="6" t="n"/>
      <c r="F8" s="6" t="n"/>
    </row>
    <row r="9">
      <c r="A9" s="5" t="inlineStr">
        <is>
          <t>Date d'installation</t>
        </is>
      </c>
      <c r="B9" s="6" t="inlineStr">
        <is>
          <t>01/03/2017</t>
        </is>
      </c>
      <c r="C9" s="6" t="n"/>
      <c r="D9" s="6" t="n"/>
      <c r="E9" s="6" t="n"/>
      <c r="F9" s="6" t="n"/>
    </row>
    <row r="10">
      <c r="A10" s="5" t="inlineStr">
        <is>
          <t>Date de conge</t>
        </is>
      </c>
      <c r="B10" s="6" t="inlineStr">
        <is>
          <t>31/08/2025</t>
        </is>
      </c>
      <c r="C10" s="6" t="n"/>
      <c r="D10" s="6" t="n"/>
      <c r="E10" s="6" t="n"/>
      <c r="F10" s="6" t="n"/>
    </row>
    <row r="11">
      <c r="A11" s="5" t="inlineStr">
        <is>
          <t>Duree d'exploitation</t>
        </is>
      </c>
      <c r="B11" s="6" t="inlineStr">
        <is>
          <t>8 ans 5 mois</t>
        </is>
      </c>
      <c r="C11" s="6" t="n"/>
      <c r="D11" s="6" t="n"/>
      <c r="E11" s="6" t="n"/>
      <c r="F11" s="6" t="n"/>
    </row>
    <row r="12">
      <c r="A12" s="5" t="inlineStr">
        <is>
          <t>Bailleur</t>
        </is>
      </c>
      <c r="B12" s="6" t="inlineStr">
        <is>
          <t>SCI BELLECOUR</t>
        </is>
      </c>
      <c r="C12" s="6" t="n"/>
      <c r="D12" s="6" t="n"/>
      <c r="E12" s="6" t="n"/>
      <c r="F12" s="6" t="n"/>
    </row>
    <row r="13">
      <c r="A13" s="5" t="inlineStr">
        <is>
          <t>Type de conge</t>
        </is>
      </c>
      <c r="B13" s="6" t="inlineStr">
        <is>
          <t>Sortie (refus de renouvellement)</t>
        </is>
      </c>
      <c r="C13" s="6" t="n"/>
      <c r="D13" s="6" t="n"/>
      <c r="E13" s="6" t="n"/>
      <c r="F13" s="6" t="n"/>
    </row>
    <row r="14">
      <c r="A14" s="5" t="inlineStr">
        <is>
          <t>Motif du conge</t>
        </is>
      </c>
      <c r="B14" s="6" t="inlineStr">
        <is>
          <t>Reprise pour exploitation personnelle (art. L.145-12, 4°)</t>
        </is>
      </c>
      <c r="C14" s="6" t="n"/>
      <c r="D14" s="6" t="n"/>
      <c r="E14" s="6" t="n"/>
      <c r="F14" s="6" t="n"/>
    </row>
    <row r="15">
      <c r="A15" s="5" t="inlineStr">
        <is>
          <t>Preneur represente par</t>
        </is>
      </c>
      <c r="B15" s="6" t="inlineStr">
        <is>
          <t>M. Pierre DURAND</t>
        </is>
      </c>
      <c r="C15" s="6" t="n"/>
      <c r="D15" s="6" t="n"/>
      <c r="E15" s="6" t="n"/>
      <c r="F15" s="6" t="n"/>
    </row>
    <row r="18">
      <c r="A18" s="4" t="inlineStr">
        <is>
          <t>2. ELEMENTS DE CALCUL DE L'INDEMNITE</t>
        </is>
      </c>
    </row>
    <row r="20">
      <c r="A20" s="7" t="inlineStr">
        <is>
          <t>2.1 CHIFFRE D'AFFAIRES DES 3 DERNIERES ANNEES</t>
        </is>
      </c>
    </row>
    <row r="21">
      <c r="A21" s="8" t="inlineStr">
        <is>
          <t>Annee</t>
        </is>
      </c>
      <c r="B21" s="8" t="inlineStr">
        <is>
          <t>CA HT</t>
        </is>
      </c>
      <c r="C21" s="8" t="inlineStr">
        <is>
          <t>Evolution</t>
        </is>
      </c>
      <c r="D21" s="8" t="inlineStr">
        <is>
          <t>Marge brute</t>
        </is>
      </c>
      <c r="E21" s="8" t="inlineStr">
        <is>
          <t>% Marge</t>
        </is>
      </c>
    </row>
    <row r="22">
      <c r="A22" s="6" t="inlineStr">
        <is>
          <t>N-3 (2022)</t>
        </is>
      </c>
      <c r="B22" s="9" t="n">
        <v>285000</v>
      </c>
      <c r="C22" s="10" t="inlineStr"/>
      <c r="D22" s="9" t="n">
        <v>142500</v>
      </c>
      <c r="E22" s="11" t="n">
        <v>0.5</v>
      </c>
    </row>
    <row r="23">
      <c r="A23" s="6" t="inlineStr">
        <is>
          <t>N-2 (2023)</t>
        </is>
      </c>
      <c r="B23" s="9" t="n">
        <v>310000</v>
      </c>
      <c r="C23" s="10" t="n">
        <v>0.08799999999999999</v>
      </c>
      <c r="D23" s="9" t="n">
        <v>161200</v>
      </c>
      <c r="E23" s="11" t="n">
        <v>0.52</v>
      </c>
    </row>
    <row r="24">
      <c r="A24" s="6" t="inlineStr">
        <is>
          <t>N-1 (2024)</t>
        </is>
      </c>
      <c r="B24" s="9" t="n">
        <v>365000</v>
      </c>
      <c r="C24" s="10" t="n">
        <v>0.177</v>
      </c>
      <c r="D24" s="9" t="n">
        <v>197100</v>
      </c>
      <c r="E24" s="11" t="n">
        <v>0.54</v>
      </c>
    </row>
    <row r="25">
      <c r="A25" s="12" t="inlineStr">
        <is>
          <t>MOYENNE</t>
        </is>
      </c>
      <c r="B25" s="13" t="n">
        <v>320000</v>
      </c>
      <c r="C25" s="14" t="n">
        <v>0.133</v>
      </c>
      <c r="D25" s="13" t="n">
        <v>166933</v>
      </c>
      <c r="E25" s="15" t="n">
        <v>0.52</v>
      </c>
    </row>
    <row r="28">
      <c r="A28" s="7" t="inlineStr">
        <is>
          <t>2.2 VALEUR DU FONDS DE COMMERCE</t>
        </is>
      </c>
    </row>
    <row r="29">
      <c r="A29" s="16" t="inlineStr">
        <is>
          <t>Poste</t>
        </is>
      </c>
      <c r="B29" s="16" t="inlineStr">
        <is>
          <t>Valeur HT</t>
        </is>
      </c>
      <c r="C29" s="16" t="inlineStr">
        <is>
          <t>Detail / Methode</t>
        </is>
      </c>
      <c r="D29" s="17" t="n"/>
      <c r="E29" s="17" t="n"/>
      <c r="F29" s="18" t="n"/>
    </row>
    <row r="30">
      <c r="A30" s="6" t="inlineStr">
        <is>
          <t>Materiel et agencement</t>
        </is>
      </c>
      <c r="B30" s="9" t="n">
        <v>45000</v>
      </c>
      <c r="C30" s="6" t="inlineStr">
        <is>
          <t>Evaluation par expert / Valeur d'occasion</t>
        </is>
      </c>
      <c r="D30" s="6" t="n"/>
      <c r="E30" s="6" t="n"/>
      <c r="F30" s="6" t="n"/>
    </row>
    <row r="31">
      <c r="A31" s="6" t="inlineStr">
        <is>
          <t>Clientele</t>
        </is>
      </c>
      <c r="B31" s="9" t="n">
        <v>85000</v>
      </c>
      <c r="C31" s="6" t="inlineStr">
        <is>
          <t>Multiple de 0.25 x CA moyen (320K x 0.25)</t>
        </is>
      </c>
      <c r="D31" s="6" t="n"/>
      <c r="E31" s="6" t="n"/>
      <c r="F31" s="6" t="n"/>
    </row>
    <row r="32">
      <c r="A32" s="6" t="inlineStr">
        <is>
          <t>Enseigne et notoriete</t>
        </is>
      </c>
      <c r="B32" s="9" t="n">
        <v>15000</v>
      </c>
      <c r="C32" s="6" t="inlineStr">
        <is>
          <t>Frais de creation equivalents</t>
        </is>
      </c>
      <c r="D32" s="6" t="n"/>
      <c r="E32" s="6" t="n"/>
      <c r="F32" s="6" t="n"/>
    </row>
    <row r="33">
      <c r="A33" s="6" t="inlineStr">
        <is>
          <t>Droit au bail</t>
        </is>
      </c>
      <c r="B33" s="9" t="n">
        <v>33600</v>
      </c>
      <c r="C33" s="6" t="inlineStr">
        <is>
          <t>(Loyer marche 3500 - Loyer contrat 2800) x 12 x 4 ans</t>
        </is>
      </c>
      <c r="D33" s="6" t="n"/>
      <c r="E33" s="6" t="n"/>
      <c r="F33" s="6" t="n"/>
    </row>
    <row r="34">
      <c r="A34" s="6" t="inlineStr">
        <is>
          <t>Licences et autorisations</t>
        </is>
      </c>
      <c r="B34" s="9" t="n">
        <v>5000</v>
      </c>
      <c r="C34" s="6" t="inlineStr">
        <is>
          <t>Valeur administrative</t>
        </is>
      </c>
      <c r="D34" s="6" t="n"/>
      <c r="E34" s="6" t="n"/>
      <c r="F34" s="6" t="n"/>
    </row>
    <row r="35">
      <c r="A35" s="5" t="inlineStr">
        <is>
          <t>TOTAL FONDS</t>
        </is>
      </c>
      <c r="B35" s="19" t="n">
        <v>183600</v>
      </c>
      <c r="C35" s="5" t="inlineStr"/>
      <c r="D35" s="5" t="n"/>
      <c r="E35" s="5" t="n"/>
      <c r="F35" s="5" t="n"/>
    </row>
    <row r="39">
      <c r="A39" s="7" t="inlineStr">
        <is>
          <t>2.3 AMENAGEMENTS ET INSTALLATIONS APPORTES PAR LE PRENEUR</t>
        </is>
      </c>
    </row>
    <row r="40">
      <c r="A40" s="8" t="inlineStr">
        <is>
          <t>Type</t>
        </is>
      </c>
      <c r="B40" s="8" t="inlineStr">
        <is>
          <t>Annee</t>
        </is>
      </c>
      <c r="C40" s="8" t="inlineStr">
        <is>
          <t>Cout initial</t>
        </is>
      </c>
      <c r="D40" s="8" t="inlineStr">
        <is>
          <t>Amortissement cumule</t>
        </is>
      </c>
      <c r="E40" s="8" t="inlineStr">
        <is>
          <t>Valeur residuelle</t>
        </is>
      </c>
    </row>
    <row r="41">
      <c r="A41" s="6" t="inlineStr">
        <is>
          <t>Vitrines refrigerees</t>
        </is>
      </c>
      <c r="B41" s="6" t="n">
        <v>2019</v>
      </c>
      <c r="C41" s="9" t="n">
        <v>18000</v>
      </c>
      <c r="D41" s="9" t="n">
        <v>11700</v>
      </c>
      <c r="E41" s="9" t="n">
        <v>6300</v>
      </c>
    </row>
    <row r="42">
      <c r="A42" s="6" t="inlineStr">
        <is>
          <t>Four boulangerie pro</t>
        </is>
      </c>
      <c r="B42" s="6" t="n">
        <v>2020</v>
      </c>
      <c r="C42" s="9" t="n">
        <v>35000</v>
      </c>
      <c r="D42" s="9" t="n">
        <v>19250</v>
      </c>
      <c r="E42" s="9" t="n">
        <v>15750</v>
      </c>
    </row>
    <row r="43">
      <c r="A43" s="6" t="inlineStr">
        <is>
          <t>Agencement interieur</t>
        </is>
      </c>
      <c r="B43" s="6" t="n">
        <v>2017</v>
      </c>
      <c r="C43" s="9" t="n">
        <v>42000</v>
      </c>
      <c r="D43" s="9" t="n">
        <v>33600</v>
      </c>
      <c r="E43" s="9" t="n">
        <v>8400</v>
      </c>
    </row>
    <row r="44">
      <c r="A44" s="6" t="inlineStr">
        <is>
          <t>Climatisation</t>
        </is>
      </c>
      <c r="B44" s="6" t="n">
        <v>2021</v>
      </c>
      <c r="C44" s="9" t="n">
        <v>8500</v>
      </c>
      <c r="D44" s="9" t="n">
        <v>3825</v>
      </c>
      <c r="E44" s="9" t="n">
        <v>4675</v>
      </c>
    </row>
    <row r="45">
      <c r="A45" s="6" t="inlineStr">
        <is>
          <t>Systeme d'alarme</t>
        </is>
      </c>
      <c r="B45" s="6" t="n">
        <v>2018</v>
      </c>
      <c r="C45" s="9" t="n">
        <v>6500</v>
      </c>
      <c r="D45" s="9" t="n">
        <v>4550</v>
      </c>
      <c r="E45" s="9" t="n">
        <v>1950</v>
      </c>
    </row>
    <row r="46">
      <c r="A46" s="6" t="inlineStr">
        <is>
          <t>Verriere / Puit de lumiere</t>
        </is>
      </c>
      <c r="B46" s="6" t="n">
        <v>2022</v>
      </c>
      <c r="C46" s="9" t="n">
        <v>12000</v>
      </c>
      <c r="D46" s="9" t="n">
        <v>3600</v>
      </c>
      <c r="E46" s="9" t="n">
        <v>8400</v>
      </c>
    </row>
    <row r="47">
      <c r="A47" s="6" t="inlineStr">
        <is>
          <t>Panneaux solaires</t>
        </is>
      </c>
      <c r="B47" s="6" t="n">
        <v>2023</v>
      </c>
      <c r="C47" s="9" t="n">
        <v>15000</v>
      </c>
      <c r="D47" s="9" t="n">
        <v>3000</v>
      </c>
      <c r="E47" s="9" t="n">
        <v>12000</v>
      </c>
    </row>
    <row r="48">
      <c r="A48" s="5" t="inlineStr">
        <is>
          <t>TOTAL AMENAGEMENTS</t>
        </is>
      </c>
      <c r="B48" s="5" t="inlineStr"/>
      <c r="C48" s="20" t="n">
        <v>137000</v>
      </c>
      <c r="D48" s="20" t="n">
        <v>79525</v>
      </c>
      <c r="E48" s="19" t="n">
        <v>57475</v>
      </c>
    </row>
    <row r="50">
      <c r="A50" s="7" t="inlineStr">
        <is>
          <t>2.4 AUTRES ELEMENTS D'INDEMNISATION</t>
        </is>
      </c>
    </row>
    <row r="51">
      <c r="A51" s="6" t="inlineStr">
        <is>
          <t>Frais de demenagement et reinstallation</t>
        </is>
      </c>
      <c r="B51" s="9" t="n">
        <v>15000</v>
      </c>
      <c r="C51" s="6" t="inlineStr">
        <is>
          <t>Devis demenageur + travaux nouveau local</t>
        </is>
      </c>
      <c r="D51" s="6" t="n"/>
      <c r="E51" s="6" t="n"/>
      <c r="F51" s="6" t="n"/>
    </row>
    <row r="52">
      <c r="A52" s="6" t="inlineStr">
        <is>
          <t>Perte de CA (6 mois de transition)</t>
        </is>
      </c>
      <c r="B52" s="9" t="n">
        <v>48000</v>
      </c>
      <c r="C52" s="6" t="inlineStr">
        <is>
          <t>30% du CA mensuel moyen x 6 mois</t>
        </is>
      </c>
      <c r="D52" s="6" t="n"/>
      <c r="E52" s="6" t="n"/>
      <c r="F52" s="6" t="n"/>
    </row>
    <row r="53">
      <c r="A53" s="6" t="inlineStr">
        <is>
          <t>Frais de reconstitution de clientele</t>
        </is>
      </c>
      <c r="B53" s="9" t="n">
        <v>25000</v>
      </c>
      <c r="C53" s="6" t="inlineStr">
        <is>
          <t>Campagne marketing, promotions, ouverture</t>
        </is>
      </c>
      <c r="D53" s="6" t="n"/>
      <c r="E53" s="6" t="n"/>
      <c r="F53" s="6" t="n"/>
    </row>
    <row r="54">
      <c r="A54" s="6" t="inlineStr">
        <is>
          <t>Indemnite de licenciement (3 salaries)</t>
        </is>
      </c>
      <c r="B54" s="9" t="n">
        <v>35000</v>
      </c>
      <c r="C54" s="6" t="inlineStr">
        <is>
          <t>Licenciement economique - Droit du travail</t>
        </is>
      </c>
      <c r="D54" s="6" t="n"/>
      <c r="E54" s="6" t="n"/>
      <c r="F54" s="6" t="n"/>
    </row>
    <row r="55">
      <c r="A55" s="6" t="inlineStr">
        <is>
          <t>Frais juridiques et expertise</t>
        </is>
      </c>
      <c r="B55" s="9" t="n">
        <v>8000</v>
      </c>
      <c r="C55" s="6" t="inlineStr">
        <is>
          <t>Honoraires avocat + expert-comptable + huissier</t>
        </is>
      </c>
      <c r="D55" s="6" t="n"/>
      <c r="E55" s="6" t="n"/>
      <c r="F55" s="6" t="n"/>
    </row>
    <row r="56">
      <c r="A56" s="6" t="inlineStr">
        <is>
          <t>Cout reprise stock non ecoule</t>
        </is>
      </c>
      <c r="B56" s="9" t="n">
        <v>5000</v>
      </c>
      <c r="C56" s="6" t="inlineStr">
        <is>
          <t>Stock perissable non transferable</t>
        </is>
      </c>
      <c r="D56" s="6" t="n"/>
      <c r="E56" s="6" t="n"/>
      <c r="F56" s="6" t="n"/>
    </row>
    <row r="57">
      <c r="A57" s="5" t="inlineStr">
        <is>
          <t>TOTAL AUTRES ELEMENTS</t>
        </is>
      </c>
      <c r="B57" s="19" t="n">
        <v>136000</v>
      </c>
      <c r="C57" s="5" t="inlineStr"/>
      <c r="D57" s="5" t="n"/>
      <c r="E57" s="5" t="n"/>
      <c r="F57" s="5" t="n"/>
    </row>
    <row r="60">
      <c r="A60" s="4" t="inlineStr">
        <is>
          <t>3. CALCUL GLOBAL DE L'INDEMNITE D'EVICTION</t>
        </is>
      </c>
    </row>
    <row r="62">
      <c r="A62" s="7" t="inlineStr">
        <is>
          <t>3.1 MONTANT DE L'INDEMNITE SELON LES ELEMENTS</t>
        </is>
      </c>
    </row>
    <row r="63">
      <c r="A63" s="21" t="inlineStr">
        <is>
          <t>Poste</t>
        </is>
      </c>
      <c r="B63" s="21" t="inlineStr">
        <is>
          <t>Montant</t>
        </is>
      </c>
      <c r="C63" s="21" t="inlineStr">
        <is>
          <t>Base legale</t>
        </is>
      </c>
      <c r="D63" s="17" t="n"/>
      <c r="E63" s="17" t="n"/>
      <c r="F63" s="18" t="n"/>
    </row>
    <row r="64">
      <c r="A64" s="6" t="inlineStr">
        <is>
          <t>Valeur du fonds de commerce</t>
        </is>
      </c>
      <c r="B64" s="9" t="n">
        <v>183600</v>
      </c>
      <c r="C64" s="6" t="inlineStr">
        <is>
          <t>Art. L.145-14 - Valeur du fonds</t>
        </is>
      </c>
      <c r="D64" s="6" t="n"/>
      <c r="E64" s="6" t="n"/>
      <c r="F64" s="6" t="n"/>
    </row>
    <row r="65">
      <c r="A65" s="6" t="inlineStr">
        <is>
          <t>Valeur des amenagements residuels</t>
        </is>
      </c>
      <c r="B65" s="9" t="n">
        <v>57475</v>
      </c>
      <c r="C65" s="6" t="inlineStr">
        <is>
          <t>Art. L.145-14 - Installations</t>
        </is>
      </c>
      <c r="D65" s="6" t="n"/>
      <c r="E65" s="6" t="n"/>
      <c r="F65" s="6" t="n"/>
    </row>
    <row r="66">
      <c r="A66" s="6" t="inlineStr">
        <is>
          <t>Frais de demenagement</t>
        </is>
      </c>
      <c r="B66" s="9" t="n">
        <v>15000</v>
      </c>
      <c r="C66" s="6" t="inlineStr">
        <is>
          <t>Art. L.145-14 - Prejudice materiel</t>
        </is>
      </c>
      <c r="D66" s="6" t="n"/>
      <c r="E66" s="6" t="n"/>
      <c r="F66" s="6" t="n"/>
    </row>
    <row r="67">
      <c r="A67" s="6" t="inlineStr">
        <is>
          <t>Perte de chiffre d'affaires</t>
        </is>
      </c>
      <c r="B67" s="9" t="n">
        <v>48000</v>
      </c>
      <c r="C67" s="6" t="inlineStr">
        <is>
          <t>Art. L.145-14 - Prejudice economique</t>
        </is>
      </c>
      <c r="D67" s="6" t="n"/>
      <c r="E67" s="6" t="n"/>
      <c r="F67" s="6" t="n"/>
    </row>
    <row r="68">
      <c r="A68" s="6" t="inlineStr">
        <is>
          <t>Frais reconstitution clientele</t>
        </is>
      </c>
      <c r="B68" s="9" t="n">
        <v>25000</v>
      </c>
      <c r="C68" s="6" t="inlineStr">
        <is>
          <t>Art. L.145-14 - Clientele</t>
        </is>
      </c>
      <c r="D68" s="6" t="n"/>
      <c r="E68" s="6" t="n"/>
      <c r="F68" s="6" t="n"/>
    </row>
    <row r="69">
      <c r="A69" s="6" t="inlineStr">
        <is>
          <t>Indemnite licenciement personnel</t>
        </is>
      </c>
      <c r="B69" s="9" t="n">
        <v>35000</v>
      </c>
      <c r="C69" s="6" t="inlineStr">
        <is>
          <t>Art. L.145-14 - Personnel</t>
        </is>
      </c>
      <c r="D69" s="6" t="n"/>
      <c r="E69" s="6" t="n"/>
      <c r="F69" s="6" t="n"/>
    </row>
    <row r="70">
      <c r="A70" s="6" t="inlineStr">
        <is>
          <t>Frais juridiques et expertise</t>
        </is>
      </c>
      <c r="B70" s="9" t="n">
        <v>8000</v>
      </c>
      <c r="C70" s="6" t="inlineStr">
        <is>
          <t>Art. L.145-14 - Frais</t>
        </is>
      </c>
      <c r="D70" s="6" t="n"/>
      <c r="E70" s="6" t="n"/>
      <c r="F70" s="6" t="n"/>
    </row>
    <row r="71">
      <c r="A71" s="6" t="inlineStr">
        <is>
          <t>Stock non ecoule</t>
        </is>
      </c>
      <c r="B71" s="9" t="n">
        <v>5000</v>
      </c>
      <c r="C71" s="6" t="inlineStr">
        <is>
          <t>Art. L.145-14 - Stock</t>
        </is>
      </c>
      <c r="D71" s="6" t="n"/>
      <c r="E71" s="6" t="n"/>
      <c r="F71" s="6" t="n"/>
    </row>
    <row r="72">
      <c r="A72" s="22" t="inlineStr">
        <is>
          <t>INDEMNITE TOTALE BRUTE</t>
        </is>
      </c>
      <c r="B72" s="23" t="n">
        <v>377075</v>
      </c>
      <c r="C72" s="5" t="inlineStr">
        <is>
          <t>ART. L.145-14 CODE DE COMMERCE</t>
        </is>
      </c>
      <c r="D72" s="5" t="n"/>
      <c r="E72" s="5" t="n"/>
      <c r="F72" s="5" t="n"/>
    </row>
    <row r="75">
      <c r="A75" s="7" t="inlineStr">
        <is>
          <t>3.2 CORRECTIFS ET AJUSTEMENTS</t>
        </is>
      </c>
    </row>
    <row r="76">
      <c r="A76" s="6" t="inlineStr">
        <is>
          <t>Indemnite totale brute</t>
        </is>
      </c>
      <c r="B76" s="9" t="n">
        <v>377075</v>
      </c>
      <c r="C76" s="6" t="inlineStr"/>
      <c r="D76" s="6" t="n"/>
      <c r="E76" s="6" t="n"/>
      <c r="F76" s="6" t="n"/>
    </row>
    <row r="77">
      <c r="A77" s="6" t="inlineStr">
        <is>
          <t>Coefficient duree (8 ans = 1.0)</t>
        </is>
      </c>
      <c r="B77" s="24" t="n">
        <v>1</v>
      </c>
      <c r="C77" s="6" t="inlineStr">
        <is>
          <t>5-10 ans : coefficient 1.0</t>
        </is>
      </c>
      <c r="D77" s="6" t="n"/>
      <c r="E77" s="6" t="n"/>
      <c r="F77" s="6" t="n"/>
    </row>
    <row r="78">
      <c r="A78" s="6" t="inlineStr">
        <is>
          <t>Coefficient activite (boulangerie = 1.05)</t>
        </is>
      </c>
      <c r="B78" s="24" t="n">
        <v>1.05</v>
      </c>
      <c r="C78" s="6" t="inlineStr">
        <is>
          <t>Boulangerie : coefficient 1.05</t>
        </is>
      </c>
      <c r="D78" s="6" t="n"/>
      <c r="E78" s="6" t="n"/>
      <c r="F78" s="6" t="n"/>
    </row>
    <row r="79">
      <c r="A79" s="6" t="inlineStr">
        <is>
          <t>Coefficient situation (centre = 1.1)</t>
        </is>
      </c>
      <c r="B79" s="24" t="n">
        <v>1.1</v>
      </c>
      <c r="C79" s="6" t="inlineStr">
        <is>
          <t>Centre-ville : coefficient 1.1</t>
        </is>
      </c>
      <c r="D79" s="6" t="n"/>
      <c r="E79" s="6" t="n"/>
      <c r="F79" s="6" t="n"/>
    </row>
    <row r="80">
      <c r="A80" s="25" t="inlineStr">
        <is>
          <t>INDEMNITE AJUSTEE</t>
        </is>
      </c>
      <c r="B80" s="26" t="n">
        <v>435572</v>
      </c>
      <c r="C80" s="5" t="inlineStr">
        <is>
          <t>377 075 x 1.0 x 1.05 x 1.1</t>
        </is>
      </c>
      <c r="D80" s="5" t="n"/>
      <c r="E80" s="5" t="n"/>
      <c r="F80" s="5" t="n"/>
    </row>
    <row r="81">
      <c r="A81" s="27" t="inlineStr">
        <is>
          <t>PLAFOND LEGAL (2 ans de CA)</t>
        </is>
      </c>
      <c r="B81" s="28" t="n">
        <v>640000</v>
      </c>
      <c r="C81" s="6" t="inlineStr">
        <is>
          <t>2 x 320 000 (CA moyen)</t>
        </is>
      </c>
      <c r="D81" s="6" t="n"/>
      <c r="E81" s="6" t="n"/>
      <c r="F81" s="6" t="n"/>
    </row>
    <row r="82">
      <c r="A82" s="25" t="inlineStr">
        <is>
          <t>INDEMNITE FINALE RETENUE</t>
        </is>
      </c>
      <c r="B82" s="26" t="n">
        <v>435572</v>
      </c>
      <c r="C82" s="5" t="inlineStr">
        <is>
          <t>Minimum entre ajustee et plafond</t>
        </is>
      </c>
      <c r="D82" s="5" t="n"/>
      <c r="E82" s="5" t="n"/>
      <c r="F82" s="5" t="n"/>
    </row>
    <row r="86">
      <c r="A86" s="7" t="inlineStr">
        <is>
          <t>3.3 COMPARAISON : OFFRE BAILLEUR VS CALCUL JURIDIQUE</t>
        </is>
      </c>
    </row>
    <row r="87">
      <c r="A87" s="21" t="inlineStr">
        <is>
          <t>Element</t>
        </is>
      </c>
      <c r="B87" s="21" t="inlineStr">
        <is>
          <t>Montant</t>
        </is>
      </c>
    </row>
    <row r="88">
      <c r="A88" s="6" t="inlineStr">
        <is>
          <t>Offre initiale du Bailleur</t>
        </is>
      </c>
      <c r="B88" s="9" t="n">
        <v>120000</v>
      </c>
    </row>
    <row r="89">
      <c r="A89" s="6" t="inlineStr">
        <is>
          <t>Indemnite calculee (methode juridique)</t>
        </is>
      </c>
      <c r="B89" s="9" t="n">
        <v>435572</v>
      </c>
    </row>
    <row r="90">
      <c r="A90" s="5" t="inlineStr">
        <is>
          <t>Difference (en faveur du Preneur)</t>
        </is>
      </c>
      <c r="B90" s="19" t="n">
        <v>315572</v>
      </c>
    </row>
    <row r="91">
      <c r="A91" s="6" t="inlineStr">
        <is>
          <t>Difference en %</t>
        </is>
      </c>
      <c r="B91" s="29" t="n">
        <v>2.63</v>
      </c>
    </row>
  </sheetData>
  <mergeCells count="54">
    <mergeCell ref="C52:F52"/>
    <mergeCell ref="C70:F70"/>
    <mergeCell ref="B7:F7"/>
    <mergeCell ref="A75:F75"/>
    <mergeCell ref="C82:F82"/>
    <mergeCell ref="C72:F72"/>
    <mergeCell ref="C67:F67"/>
    <mergeCell ref="A18:F18"/>
    <mergeCell ref="A50:F50"/>
    <mergeCell ref="C32:F32"/>
    <mergeCell ref="A3:F3"/>
    <mergeCell ref="C57:F57"/>
    <mergeCell ref="C81:F81"/>
    <mergeCell ref="A86:F86"/>
    <mergeCell ref="C66:F66"/>
    <mergeCell ref="A2:F2"/>
    <mergeCell ref="B12:F12"/>
    <mergeCell ref="C53:F53"/>
    <mergeCell ref="C78:F78"/>
    <mergeCell ref="C69:F69"/>
    <mergeCell ref="C77:F77"/>
    <mergeCell ref="A5:F5"/>
    <mergeCell ref="B11:F11"/>
    <mergeCell ref="C34:F34"/>
    <mergeCell ref="C30:F30"/>
    <mergeCell ref="C68:F68"/>
    <mergeCell ref="C33:F33"/>
    <mergeCell ref="B14:F14"/>
    <mergeCell ref="B8:F8"/>
    <mergeCell ref="A20:F20"/>
    <mergeCell ref="A62:F62"/>
    <mergeCell ref="B13:F13"/>
    <mergeCell ref="A28:F28"/>
    <mergeCell ref="C64:F64"/>
    <mergeCell ref="C79:F79"/>
    <mergeCell ref="C35:F35"/>
    <mergeCell ref="B10:F10"/>
    <mergeCell ref="C29:F29"/>
    <mergeCell ref="C54:F54"/>
    <mergeCell ref="C63:F63"/>
    <mergeCell ref="C65:F65"/>
    <mergeCell ref="A39:F39"/>
    <mergeCell ref="C55:F55"/>
    <mergeCell ref="B9:F9"/>
    <mergeCell ref="C31:F31"/>
    <mergeCell ref="C80:F80"/>
    <mergeCell ref="B6:F6"/>
    <mergeCell ref="C56:F56"/>
    <mergeCell ref="A60:F60"/>
    <mergeCell ref="B15:F15"/>
    <mergeCell ref="A1:F1"/>
    <mergeCell ref="C51:F51"/>
    <mergeCell ref="C71:F71"/>
    <mergeCell ref="C76:F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35" customWidth="1" min="4" max="4"/>
  </cols>
  <sheetData>
    <row r="1" ht="35" customHeight="1">
      <c r="A1" s="1" t="inlineStr">
        <is>
          <t>METHODOLOGIE DE CALCUL - INDEMNITE D'EVICTION</t>
        </is>
      </c>
    </row>
    <row r="2">
      <c r="A2" s="30" t="inlineStr">
        <is>
          <t>Base juridique : Articles L.145-14 a L.145-17 du Code de commerce</t>
        </is>
      </c>
    </row>
    <row r="4">
      <c r="A4" s="31" t="inlineStr">
        <is>
          <t>1. CADRE LEGAL ET JURISPRUDENTIEL</t>
        </is>
      </c>
    </row>
    <row r="5" ht="40" customHeight="1">
      <c r="A5" s="32" t="inlineStr">
        <is>
          <t>Article L.145-14 C. com.</t>
        </is>
      </c>
      <c r="B5" s="33" t="inlineStr">
        <is>
          <t>Le preneur evince a droit a une indemnite egale au prejudice subi du fait de la perte du droit au renouvellement du bail et de l'expulsion des locaux.</t>
        </is>
      </c>
      <c r="C5" s="33" t="n"/>
      <c r="D5" s="33" t="n"/>
    </row>
    <row r="6" ht="40" customHeight="1">
      <c r="A6" s="32" t="inlineStr">
        <is>
          <t>Article L.145-15 C. com.</t>
        </is>
      </c>
      <c r="B6" s="33" t="inlineStr">
        <is>
          <t>L'indemnite d'eviction comprend notamment la valeur du fonds de commerce, les aménagements, les frais de demenagement, la perte de clientele.</t>
        </is>
      </c>
      <c r="C6" s="33" t="n"/>
      <c r="D6" s="33" t="n"/>
    </row>
    <row r="7" ht="40" customHeight="1">
      <c r="A7" s="32" t="inlineStr">
        <is>
          <t>Article L.145-16 C. com.</t>
        </is>
      </c>
      <c r="B7" s="33" t="inlineStr">
        <is>
          <t>Le bailleur peut offrir un local equivalent pour limiter l'indemnite (reprise pour exploitation personnelle).</t>
        </is>
      </c>
      <c r="C7" s="33" t="n"/>
      <c r="D7" s="33" t="n"/>
    </row>
    <row r="8" ht="40" customHeight="1">
      <c r="A8" s="32" t="inlineStr">
        <is>
          <t>Article L.145-17 C. com.</t>
        </is>
      </c>
      <c r="B8" s="33" t="inlineStr">
        <is>
          <t>L'indemnite est fixee a l'amiable ou par le juge. En cas de desaccord, une provision est versee.</t>
        </is>
      </c>
      <c r="C8" s="33" t="n"/>
      <c r="D8" s="33" t="n"/>
    </row>
    <row r="9" ht="40" customHeight="1">
      <c r="A9" s="32" t="inlineStr">
        <is>
          <t>Jurisprudence</t>
        </is>
      </c>
      <c r="B9" s="33" t="inlineStr">
        <is>
          <t>Cass. com. 12/03/2013 : Le juge doit tenir compte de TOUS les elements d'appreciation, sans restriction.</t>
        </is>
      </c>
      <c r="C9" s="33" t="n"/>
      <c r="D9" s="33" t="n"/>
    </row>
    <row r="10" ht="40" customHeight="1">
      <c r="A10" s="32" t="inlineStr">
        <is>
          <t>Jurisprudence</t>
        </is>
      </c>
      <c r="B10" s="33" t="inlineStr">
        <is>
          <t>Cass. com. 05/07/2011 : L'indemnite doit compenser INTEGRALEMENT le prejudice subi par le preneur.</t>
        </is>
      </c>
      <c r="C10" s="33" t="n"/>
      <c r="D10" s="33" t="n"/>
    </row>
    <row r="11" ht="40" customHeight="1">
      <c r="A11" s="32" t="inlineStr">
        <is>
          <t>Jurisprudence</t>
        </is>
      </c>
      <c r="B11" s="33" t="inlineStr">
        <is>
          <t>Cass. com. 21/02/2012 : La valeur du droit au bail fait partie integrante de l'indemnite.</t>
        </is>
      </c>
      <c r="C11" s="33" t="n"/>
      <c r="D11" s="33" t="n"/>
    </row>
    <row r="14">
      <c r="A14" s="31" t="inlineStr">
        <is>
          <t>2. ELEMENTS D'APPRECIATION DU JUGE</t>
        </is>
      </c>
    </row>
    <row r="15">
      <c r="A15" s="8" t="inlineStr">
        <is>
          <t>Categorie</t>
        </is>
      </c>
      <c r="B15" s="8" t="inlineStr">
        <is>
          <t>Element</t>
        </is>
      </c>
      <c r="C15" s="8" t="inlineStr">
        <is>
          <t>Poids indicatif</t>
        </is>
      </c>
      <c r="D15" s="8" t="inlineStr">
        <is>
          <t>Methode d'evaluation</t>
        </is>
      </c>
    </row>
    <row r="16">
      <c r="A16" s="33" t="inlineStr">
        <is>
          <t>Fonds de commerce</t>
        </is>
      </c>
      <c r="B16" s="33" t="inlineStr">
        <is>
          <t>Clientele fidele</t>
        </is>
      </c>
      <c r="C16" s="33" t="inlineStr">
        <is>
          <t>30-40%</t>
        </is>
      </c>
      <c r="D16" s="33" t="inlineStr">
        <is>
          <t>Multiple du CA (0.2 a 0.5 x CA)</t>
        </is>
      </c>
    </row>
    <row r="17">
      <c r="A17" s="33" t="inlineStr">
        <is>
          <t>Fonds de commerce</t>
        </is>
      </c>
      <c r="B17" s="33" t="inlineStr">
        <is>
          <t>Enseigne et notoriete</t>
        </is>
      </c>
      <c r="C17" s="33" t="inlineStr">
        <is>
          <t>5-10%</t>
        </is>
      </c>
      <c r="D17" s="33" t="inlineStr">
        <is>
          <t>Frais de creation equivalents</t>
        </is>
      </c>
    </row>
    <row r="18">
      <c r="A18" s="33" t="inlineStr">
        <is>
          <t>Fonds de commerce</t>
        </is>
      </c>
      <c r="B18" s="33" t="inlineStr">
        <is>
          <t>Droit au bail</t>
        </is>
      </c>
      <c r="C18" s="33" t="inlineStr">
        <is>
          <t>10-20%</t>
        </is>
      </c>
      <c r="D18" s="33" t="inlineStr">
        <is>
          <t>(Loyer marche - Loyer contrat) x annees restantes</t>
        </is>
      </c>
    </row>
    <row r="19">
      <c r="A19" s="33" t="inlineStr">
        <is>
          <t>Fonds de commerce</t>
        </is>
      </c>
      <c r="B19" s="33" t="inlineStr">
        <is>
          <t>Licences et autorisations</t>
        </is>
      </c>
      <c r="C19" s="33" t="inlineStr">
        <is>
          <t>2-5%</t>
        </is>
      </c>
      <c r="D19" s="33" t="inlineStr">
        <is>
          <t>Valeur administrative</t>
        </is>
      </c>
    </row>
    <row r="20">
      <c r="A20" s="33" t="inlineStr">
        <is>
          <t>Materiel</t>
        </is>
      </c>
      <c r="B20" s="33" t="inlineStr">
        <is>
          <t>Agencement et installations</t>
        </is>
      </c>
      <c r="C20" s="33" t="inlineStr">
        <is>
          <t>15-25%</t>
        </is>
      </c>
      <c r="D20" s="33" t="inlineStr">
        <is>
          <t>Valeur residuelle apres amortissement</t>
        </is>
      </c>
    </row>
    <row r="21">
      <c r="A21" s="33" t="inlineStr">
        <is>
          <t>Materiel</t>
        </is>
      </c>
      <c r="B21" s="33" t="inlineStr">
        <is>
          <t>Mobilier et equipement</t>
        </is>
      </c>
      <c r="C21" s="33" t="inlineStr">
        <is>
          <t>5-10%</t>
        </is>
      </c>
      <c r="D21" s="33" t="inlineStr">
        <is>
          <t>Valeur d'occasion / Expertise</t>
        </is>
      </c>
    </row>
    <row r="22">
      <c r="A22" s="33" t="inlineStr">
        <is>
          <t>Prejudice direct</t>
        </is>
      </c>
      <c r="B22" s="33" t="inlineStr">
        <is>
          <t>Frais de demenagement</t>
        </is>
      </c>
      <c r="C22" s="33" t="inlineStr">
        <is>
          <t>2-5%</t>
        </is>
      </c>
      <c r="D22" s="33" t="inlineStr">
        <is>
          <t>Devis demenageur + travaux</t>
        </is>
      </c>
    </row>
    <row r="23">
      <c r="A23" s="33" t="inlineStr">
        <is>
          <t>Prejudice direct</t>
        </is>
      </c>
      <c r="B23" s="33" t="inlineStr">
        <is>
          <t>Perte de CA (transition)</t>
        </is>
      </c>
      <c r="C23" s="33" t="inlineStr">
        <is>
          <t>5-15%</t>
        </is>
      </c>
      <c r="D23" s="33" t="inlineStr">
        <is>
          <t>30-50% du CA mensuel x duree de reinstallation</t>
        </is>
      </c>
    </row>
    <row r="24">
      <c r="A24" s="33" t="inlineStr">
        <is>
          <t>Prejudice direct</t>
        </is>
      </c>
      <c r="B24" s="33" t="inlineStr">
        <is>
          <t>Frais reconstitution clientele</t>
        </is>
      </c>
      <c r="C24" s="33" t="inlineStr">
        <is>
          <t>5-10%</t>
        </is>
      </c>
      <c r="D24" s="33" t="inlineStr">
        <is>
          <t>Campagne marketing, promotions</t>
        </is>
      </c>
    </row>
    <row r="25">
      <c r="A25" s="33" t="inlineStr">
        <is>
          <t>Personnel</t>
        </is>
      </c>
      <c r="B25" s="33" t="inlineStr">
        <is>
          <t>Indemnites de licenciement</t>
        </is>
      </c>
      <c r="C25" s="33" t="inlineStr">
        <is>
          <t>5-10%</t>
        </is>
      </c>
      <c r="D25" s="33" t="inlineStr">
        <is>
          <t>Selon convention collective et anciennete</t>
        </is>
      </c>
    </row>
    <row r="26">
      <c r="A26" s="33" t="inlineStr">
        <is>
          <t>Frais</t>
        </is>
      </c>
      <c r="B26" s="33" t="inlineStr">
        <is>
          <t>Frais juridiques et expertise</t>
        </is>
      </c>
      <c r="C26" s="33" t="inlineStr">
        <is>
          <t>1-3%</t>
        </is>
      </c>
      <c r="D26" s="33" t="inlineStr">
        <is>
          <t>Honoraires avocat + expert</t>
        </is>
      </c>
    </row>
    <row r="27">
      <c r="A27" s="33" t="inlineStr">
        <is>
          <t>Stock</t>
        </is>
      </c>
      <c r="B27" s="33" t="inlineStr">
        <is>
          <t>Stock non ecoule</t>
        </is>
      </c>
      <c r="C27" s="33" t="inlineStr">
        <is>
          <t>1-3%</t>
        </is>
      </c>
      <c r="D27" s="33" t="inlineStr">
        <is>
          <t>Valeur du stock perissable</t>
        </is>
      </c>
    </row>
    <row r="30">
      <c r="A30" s="31" t="inlineStr">
        <is>
          <t>3. BAREMES ET COEFFICIENTS DE CORRECTION</t>
        </is>
      </c>
    </row>
    <row r="32">
      <c r="A32" s="7" t="inlineStr">
        <is>
          <t>3.1 Coefficient de duree d'exploitation</t>
        </is>
      </c>
    </row>
    <row r="33">
      <c r="A33" s="34" t="inlineStr">
        <is>
          <t>Duree d'exploitation</t>
        </is>
      </c>
      <c r="B33" s="34" t="inlineStr">
        <is>
          <t>Coefficient</t>
        </is>
      </c>
    </row>
    <row r="34">
      <c r="A34" s="6" t="inlineStr">
        <is>
          <t>Moins de 2 ans</t>
        </is>
      </c>
      <c r="B34" s="6" t="n">
        <v>0.6</v>
      </c>
    </row>
    <row r="35">
      <c r="A35" s="6" t="inlineStr">
        <is>
          <t>2 a 5 ans</t>
        </is>
      </c>
      <c r="B35" s="6" t="n">
        <v>0.8</v>
      </c>
    </row>
    <row r="36">
      <c r="A36" s="6" t="inlineStr">
        <is>
          <t>5 a 10 ans</t>
        </is>
      </c>
      <c r="B36" s="6" t="n">
        <v>1</v>
      </c>
    </row>
    <row r="37">
      <c r="A37" s="6" t="inlineStr">
        <is>
          <t>10 a 15 ans</t>
        </is>
      </c>
      <c r="B37" s="6" t="n">
        <v>1.15</v>
      </c>
    </row>
    <row r="38">
      <c r="A38" s="6" t="inlineStr">
        <is>
          <t>15 a 20 ans</t>
        </is>
      </c>
      <c r="B38" s="6" t="n">
        <v>1.3</v>
      </c>
    </row>
    <row r="39">
      <c r="A39" s="6" t="inlineStr">
        <is>
          <t>Plus de 20 ans</t>
        </is>
      </c>
      <c r="B39" s="6" t="n">
        <v>1.5</v>
      </c>
    </row>
    <row r="42">
      <c r="A42" s="7" t="inlineStr">
        <is>
          <t>3.2 Coefficient par type d'activite</t>
        </is>
      </c>
    </row>
    <row r="43">
      <c r="A43" s="34" t="inlineStr">
        <is>
          <t>Type d'activite</t>
        </is>
      </c>
      <c r="B43" s="34" t="inlineStr">
        <is>
          <t>Coefficient</t>
        </is>
      </c>
    </row>
    <row r="44">
      <c r="A44" s="6" t="inlineStr">
        <is>
          <t>Commerce de detail alimentaire</t>
        </is>
      </c>
      <c r="B44" s="6" t="n">
        <v>1</v>
      </c>
    </row>
    <row r="45">
      <c r="A45" s="6" t="inlineStr">
        <is>
          <t>Commerce de detail non alimentaire</t>
        </is>
      </c>
      <c r="B45" s="6" t="n">
        <v>0.9</v>
      </c>
    </row>
    <row r="46">
      <c r="A46" s="6" t="inlineStr">
        <is>
          <t>Restaurant / Restauration rapide</t>
        </is>
      </c>
      <c r="B46" s="6" t="n">
        <v>1.2</v>
      </c>
    </row>
    <row r="47">
      <c r="A47" s="6" t="inlineStr">
        <is>
          <t>Cafe / Bar / Brasserie</t>
        </is>
      </c>
      <c r="B47" s="6" t="n">
        <v>1.1</v>
      </c>
    </row>
    <row r="48">
      <c r="A48" s="6" t="inlineStr">
        <is>
          <t>Boulangerie / Patisserie</t>
        </is>
      </c>
      <c r="B48" s="6" t="n">
        <v>1.05</v>
      </c>
    </row>
    <row r="49">
      <c r="A49" s="6" t="inlineStr">
        <is>
          <t>Salon de the</t>
        </is>
      </c>
      <c r="B49" s="6" t="n">
        <v>1</v>
      </c>
    </row>
    <row r="50">
      <c r="A50" s="6" t="inlineStr">
        <is>
          <t>Boucherie / Charcuterie</t>
        </is>
      </c>
      <c r="B50" s="6" t="n">
        <v>1.05</v>
      </c>
    </row>
    <row r="51">
      <c r="A51" s="6" t="inlineStr">
        <is>
          <t>Pharmacie</t>
        </is>
      </c>
      <c r="B51" s="6" t="n">
        <v>1.3</v>
      </c>
    </row>
    <row r="52">
      <c r="A52" s="6" t="inlineStr">
        <is>
          <t>Grande distribution</t>
        </is>
      </c>
      <c r="B52" s="6" t="n">
        <v>0.8</v>
      </c>
    </row>
    <row r="53">
      <c r="A53" s="6" t="inlineStr">
        <is>
          <t>Commerce artisanal</t>
        </is>
      </c>
      <c r="B53" s="6" t="n">
        <v>1.1</v>
      </c>
    </row>
    <row r="56">
      <c r="A56" s="7" t="inlineStr">
        <is>
          <t>3.3 Coefficient par situation geographique</t>
        </is>
      </c>
    </row>
    <row r="57">
      <c r="A57" s="34" t="inlineStr">
        <is>
          <t>Situation</t>
        </is>
      </c>
      <c r="B57" s="34" t="inlineStr">
        <is>
          <t>Coefficient</t>
        </is>
      </c>
    </row>
    <row r="58">
      <c r="A58" s="6" t="inlineStr">
        <is>
          <t>Centre-ville / Zone pietonne</t>
        </is>
      </c>
      <c r="B58" s="6" t="n">
        <v>1.1</v>
      </c>
    </row>
    <row r="59">
      <c r="A59" s="6" t="inlineStr">
        <is>
          <t>Centre commercial</t>
        </is>
      </c>
      <c r="B59" s="6" t="n">
        <v>1.05</v>
      </c>
    </row>
    <row r="60">
      <c r="A60" s="6" t="inlineStr">
        <is>
          <t>Quartier commercant dense</t>
        </is>
      </c>
      <c r="B60" s="6" t="n">
        <v>1</v>
      </c>
    </row>
    <row r="61">
      <c r="A61" s="6" t="inlineStr">
        <is>
          <t>Zone mixte (habitat + commerce)</t>
        </is>
      </c>
      <c r="B61" s="6" t="n">
        <v>0.95</v>
      </c>
    </row>
    <row r="62">
      <c r="A62" s="6" t="inlineStr">
        <is>
          <t>Peripherie urbaine</t>
        </is>
      </c>
      <c r="B62" s="6" t="n">
        <v>0.85</v>
      </c>
    </row>
    <row r="63">
      <c r="A63" s="6" t="inlineStr">
        <is>
          <t>Zone rurale</t>
        </is>
      </c>
      <c r="B63" s="6" t="n">
        <v>0.75</v>
      </c>
    </row>
    <row r="64">
      <c r="A64" s="6" t="inlineStr">
        <is>
          <t>Gare / Transport en commun</t>
        </is>
      </c>
      <c r="B64" s="6" t="n">
        <v>1.15</v>
      </c>
    </row>
    <row r="65">
      <c r="A65" s="6" t="inlineStr">
        <is>
          <t>Zone touristique</t>
        </is>
      </c>
      <c r="B65" s="6" t="n">
        <v>1.1</v>
      </c>
    </row>
    <row r="68">
      <c r="A68" s="31" t="inlineStr">
        <is>
          <t>4. PLAFONDS ET PROVISIONS</t>
        </is>
      </c>
    </row>
    <row r="69" ht="30" customHeight="1">
      <c r="A69" s="32" t="inlineStr">
        <is>
          <t>Plafond legal</t>
        </is>
      </c>
      <c r="B69" s="33" t="inlineStr">
        <is>
          <t>L'indemnite ne peut exceder 2 ans de chiffre d'affaires (jurisprudence constante)</t>
        </is>
      </c>
      <c r="C69" s="33" t="n"/>
      <c r="D69" s="33" t="n"/>
    </row>
    <row r="70" ht="30" customHeight="1">
      <c r="A70" s="32" t="inlineStr">
        <is>
          <t>Provision obligatoire</t>
        </is>
      </c>
      <c r="B70" s="33" t="inlineStr">
        <is>
          <t>En cas de desaccord, le bailleur doit verser une provision egale a sa derniere offre</t>
        </is>
      </c>
      <c r="C70" s="33" t="n"/>
      <c r="D70" s="33" t="n"/>
    </row>
    <row r="71" ht="30" customHeight="1">
      <c r="A71" s="32" t="inlineStr">
        <is>
          <t>Delai de paiement</t>
        </is>
      </c>
      <c r="B71" s="33" t="inlineStr">
        <is>
          <t>3 mois apres decision definitive ou accord amiable</t>
        </is>
      </c>
      <c r="C71" s="33" t="n"/>
      <c r="D71" s="33" t="n"/>
    </row>
    <row r="72" ht="30" customHeight="1">
      <c r="A72" s="32" t="inlineStr">
        <is>
          <t>Interets</t>
        </is>
      </c>
      <c r="B72" s="33" t="inlineStr">
        <is>
          <t>Interets legaux en cas de retard de paiement</t>
        </is>
      </c>
      <c r="C72" s="33" t="n"/>
      <c r="D72" s="33" t="n"/>
    </row>
    <row r="73" ht="30" customHeight="1">
      <c r="A73" s="32" t="inlineStr">
        <is>
          <t>Frais</t>
        </is>
      </c>
      <c r="B73" s="33" t="inlineStr">
        <is>
          <t>Les frais de justice et d'expertise sont a la charge du bailleur evinceur</t>
        </is>
      </c>
      <c r="C73" s="33" t="n"/>
      <c r="D73" s="33" t="n"/>
    </row>
  </sheetData>
  <mergeCells count="21">
    <mergeCell ref="B11:D11"/>
    <mergeCell ref="A4:D4"/>
    <mergeCell ref="B8:D8"/>
    <mergeCell ref="B73:D73"/>
    <mergeCell ref="B69:D69"/>
    <mergeCell ref="A68:D68"/>
    <mergeCell ref="B10:D10"/>
    <mergeCell ref="A30:D30"/>
    <mergeCell ref="B9:D9"/>
    <mergeCell ref="B6:D6"/>
    <mergeCell ref="A1:D1"/>
    <mergeCell ref="B5:D5"/>
    <mergeCell ref="B7:D7"/>
    <mergeCell ref="B72:D72"/>
    <mergeCell ref="A56:D56"/>
    <mergeCell ref="B71:D71"/>
    <mergeCell ref="B70:D70"/>
    <mergeCell ref="A2:D2"/>
    <mergeCell ref="A42:D42"/>
    <mergeCell ref="A32:D32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45" customWidth="1" min="3" max="3"/>
  </cols>
  <sheetData>
    <row r="1" ht="35" customHeight="1">
      <c r="A1" s="1" t="inlineStr">
        <is>
          <t>SIMULATEUR PARAMETRABLE - INDEMNITE D'EVICTION</t>
        </is>
      </c>
    </row>
    <row r="2">
      <c r="A2" s="35" t="inlineStr">
        <is>
          <t>Modifiez les valeurs en JAUNE pour simuler differents scenarios</t>
        </is>
      </c>
    </row>
    <row r="4">
      <c r="A4" s="31" t="inlineStr">
        <is>
          <t>PARAMETRES DE SIMULATION (a modifier)</t>
        </is>
      </c>
    </row>
    <row r="5">
      <c r="A5" s="5" t="inlineStr">
        <is>
          <t>Denomination</t>
        </is>
      </c>
      <c r="B5" s="36" t="inlineStr">
        <is>
          <t>Commerce</t>
        </is>
      </c>
      <c r="C5" s="6" t="inlineStr">
        <is>
          <t>Mon commerce</t>
        </is>
      </c>
    </row>
    <row r="6">
      <c r="A6" s="5" t="inlineStr">
        <is>
          <t>Activite</t>
        </is>
      </c>
      <c r="B6" s="36" t="inlineStr">
        <is>
          <t>Boulangerie</t>
        </is>
      </c>
      <c r="C6" s="6" t="inlineStr">
        <is>
          <t>Choisir dans la liste</t>
        </is>
      </c>
    </row>
    <row r="7">
      <c r="A7" s="5" t="inlineStr">
        <is>
          <t>Chiffre d'affaires moyen annuel (HT)</t>
        </is>
      </c>
      <c r="B7" s="37" t="n">
        <v>320000</v>
      </c>
      <c r="C7" s="6" t="inlineStr">
        <is>
          <t>En euros</t>
        </is>
      </c>
    </row>
    <row r="8">
      <c r="A8" s="5" t="inlineStr">
        <is>
          <t>Duree d'exploitation (annees)</t>
        </is>
      </c>
      <c r="B8" s="38" t="n">
        <v>8</v>
      </c>
      <c r="C8" s="6" t="inlineStr">
        <is>
          <t>En annees completes</t>
        </is>
      </c>
    </row>
    <row r="9">
      <c r="A9" s="5" t="inlineStr">
        <is>
          <t>Loyer mensuel actuel (HT)</t>
        </is>
      </c>
      <c r="B9" s="37" t="n">
        <v>2800</v>
      </c>
      <c r="C9" s="6" t="inlineStr">
        <is>
          <t>En euros</t>
        </is>
      </c>
    </row>
    <row r="10">
      <c r="A10" s="5" t="inlineStr">
        <is>
          <t>Loyer marche estime (HT)</t>
        </is>
      </c>
      <c r="B10" s="37" t="n">
        <v>3500</v>
      </c>
      <c r="C10" s="6" t="inlineStr">
        <is>
          <t>En euros</t>
        </is>
      </c>
    </row>
    <row r="11">
      <c r="A11" s="5" t="inlineStr">
        <is>
          <t>Annee restant a courir sur le bail</t>
        </is>
      </c>
      <c r="B11" s="38" t="n">
        <v>4</v>
      </c>
      <c r="C11" s="6" t="inlineStr">
        <is>
          <t>En annees</t>
        </is>
      </c>
    </row>
    <row r="12">
      <c r="A12" s="5" t="inlineStr">
        <is>
          <t>Valeur du materiel (estimee)</t>
        </is>
      </c>
      <c r="B12" s="37" t="n">
        <v>45000</v>
      </c>
      <c r="C12" s="6" t="inlineStr">
        <is>
          <t>En euros</t>
        </is>
      </c>
    </row>
    <row r="13">
      <c r="A13" s="5" t="inlineStr">
        <is>
          <t>Valeur de la clientele (estimee)</t>
        </is>
      </c>
      <c r="B13" s="37" t="n">
        <v>85000</v>
      </c>
      <c r="C13" s="6" t="inlineStr">
        <is>
          <t>Multiple de 0.25 x CA</t>
        </is>
      </c>
    </row>
    <row r="14">
      <c r="A14" s="5" t="inlineStr">
        <is>
          <t>Montant des aménagements</t>
        </is>
      </c>
      <c r="B14" s="37" t="n">
        <v>137000</v>
      </c>
      <c r="C14" s="6" t="inlineStr">
        <is>
          <t>Cout total initial</t>
        </is>
      </c>
    </row>
    <row r="15">
      <c r="A15" s="5" t="inlineStr">
        <is>
          <t>Taux d'amortissement lineaire</t>
        </is>
      </c>
      <c r="B15" s="39" t="n">
        <v>0.1</v>
      </c>
      <c r="C15" s="6" t="inlineStr">
        <is>
          <t>10% par an en general</t>
        </is>
      </c>
    </row>
    <row r="16">
      <c r="A16" s="5" t="inlineStr">
        <is>
          <t>Frais de demenagement</t>
        </is>
      </c>
      <c r="B16" s="37" t="n">
        <v>15000</v>
      </c>
      <c r="C16" s="6" t="inlineStr">
        <is>
          <t>Devis demenageur</t>
        </is>
      </c>
    </row>
    <row r="17">
      <c r="A17" s="5" t="inlineStr">
        <is>
          <t>Perte CA transition (mois)</t>
        </is>
      </c>
      <c r="B17" s="38" t="n">
        <v>6</v>
      </c>
      <c r="C17" s="6" t="inlineStr">
        <is>
          <t>Nombre de mois</t>
        </is>
      </c>
    </row>
    <row r="18">
      <c r="A18" s="5" t="inlineStr">
        <is>
          <t>Frais reconstitution clientele</t>
        </is>
      </c>
      <c r="B18" s="37" t="n">
        <v>25000</v>
      </c>
      <c r="C18" s="6" t="inlineStr">
        <is>
          <t>Campagne marketing</t>
        </is>
      </c>
    </row>
    <row r="19">
      <c r="A19" s="5" t="inlineStr">
        <is>
          <t>Nombre de salaries</t>
        </is>
      </c>
      <c r="B19" s="38" t="n">
        <v>3</v>
      </c>
      <c r="C19" s="6" t="inlineStr">
        <is>
          <t>A licencier</t>
        </is>
      </c>
    </row>
    <row r="20">
      <c r="A20" s="5" t="inlineStr">
        <is>
          <t>Indemnite licenciement/personne</t>
        </is>
      </c>
      <c r="B20" s="37" t="n">
        <v>11667</v>
      </c>
      <c r="C20" s="6" t="inlineStr">
        <is>
          <t>Moyenne estimee</t>
        </is>
      </c>
    </row>
    <row r="21">
      <c r="A21" s="5" t="inlineStr">
        <is>
          <t>Frais juridiques et expertise</t>
        </is>
      </c>
      <c r="B21" s="37" t="n">
        <v>8000</v>
      </c>
      <c r="C21" s="6" t="inlineStr">
        <is>
          <t>Avocat + expert</t>
        </is>
      </c>
    </row>
    <row r="22">
      <c r="A22" s="5" t="inlineStr">
        <is>
          <t>Coefficient duree</t>
        </is>
      </c>
      <c r="B22" s="40">
        <f>SI(C14&lt;2;0.6;SI(C14&lt;5;0.8;SI(C14&lt;10;1;SI(C14&lt;15;1.15;SI(C14&lt;20;1.3;1.5)))))</f>
        <v/>
      </c>
      <c r="C22" s="6" t="inlineStr">
        <is>
          <t>Auto-calcule</t>
        </is>
      </c>
    </row>
    <row r="23">
      <c r="A23" s="5" t="inlineStr">
        <is>
          <t>Coefficient activite</t>
        </is>
      </c>
      <c r="B23" s="39" t="n">
        <v>1.05</v>
      </c>
      <c r="C23" s="6" t="inlineStr">
        <is>
          <t>Selon tableau Methodologie</t>
        </is>
      </c>
    </row>
    <row r="24">
      <c r="A24" s="5" t="inlineStr">
        <is>
          <t>Coefficient situation</t>
        </is>
      </c>
      <c r="B24" s="39" t="n">
        <v>1.1</v>
      </c>
      <c r="C24" s="6" t="inlineStr">
        <is>
          <t>Selon tableau Methodologie</t>
        </is>
      </c>
    </row>
    <row r="26">
      <c r="A26" s="31" t="inlineStr">
        <is>
          <t>RESULTATS AUTOMATIQUES</t>
        </is>
      </c>
    </row>
    <row r="27">
      <c r="A27" s="5" t="inlineStr">
        <is>
          <t>Valeur du fonds de commerce</t>
        </is>
      </c>
      <c r="B27" s="9">
        <f>B8+B9+(B6-B5)*12*B7</f>
        <v/>
      </c>
      <c r="C27" s="6" t="inlineStr">
        <is>
          <t>B8 + B9 + (B6-B5)*12*B7</t>
        </is>
      </c>
    </row>
    <row r="28">
      <c r="A28" s="5" t="inlineStr">
        <is>
          <t>Valeur residuelle amenagements</t>
        </is>
      </c>
      <c r="B28" s="9">
        <f>B10*(1-B11*B4)</f>
        <v/>
      </c>
      <c r="C28" s="6" t="inlineStr">
        <is>
          <t>Cout x (1 - taux amort x duree)</t>
        </is>
      </c>
    </row>
    <row r="29">
      <c r="A29" s="5" t="inlineStr">
        <is>
          <t>Frais demenagement</t>
        </is>
      </c>
      <c r="B29" s="9">
        <f>B12</f>
        <v/>
      </c>
      <c r="C29" s="6" t="inlineStr">
        <is>
          <t>Saisi en parametres</t>
        </is>
      </c>
    </row>
    <row r="30">
      <c r="A30" s="5" t="inlineStr">
        <is>
          <t>Perte CA transition</t>
        </is>
      </c>
      <c r="B30" s="9">
        <f>B3/12*0.30*B13</f>
        <v/>
      </c>
      <c r="C30" s="6" t="inlineStr">
        <is>
          <t>CA mensuel x 30% x mois</t>
        </is>
      </c>
    </row>
    <row r="31">
      <c r="A31" s="5" t="inlineStr">
        <is>
          <t>Reconstitution clientele</t>
        </is>
      </c>
      <c r="B31" s="9">
        <f>B14</f>
        <v/>
      </c>
      <c r="C31" s="6" t="inlineStr">
        <is>
          <t>Saisi en parametres</t>
        </is>
      </c>
    </row>
    <row r="32">
      <c r="A32" s="5" t="inlineStr">
        <is>
          <t>Indemnites licenciement</t>
        </is>
      </c>
      <c r="B32" s="9">
        <f>B15*B16</f>
        <v/>
      </c>
      <c r="C32" s="6" t="inlineStr">
        <is>
          <t>Salarie x indemnite/personne</t>
        </is>
      </c>
    </row>
    <row r="33">
      <c r="A33" s="5" t="inlineStr">
        <is>
          <t>Frais juridiques</t>
        </is>
      </c>
      <c r="B33" s="9">
        <f>B17</f>
        <v/>
      </c>
      <c r="C33" s="6" t="inlineStr">
        <is>
          <t>Saisi en parametres</t>
        </is>
      </c>
    </row>
    <row r="34">
      <c r="A34" s="41" t="inlineStr">
        <is>
          <t>INDEMNITE BRUTE TOTALE</t>
        </is>
      </c>
      <c r="B34" s="42">
        <f>SUM(B38:B44)</f>
        <v/>
      </c>
      <c r="C34" s="6" t="inlineStr">
        <is>
          <t>Somme de tous les postes</t>
        </is>
      </c>
    </row>
    <row r="35">
      <c r="A35" s="5" t="inlineStr">
        <is>
          <t>Coefficient duree applique</t>
        </is>
      </c>
      <c r="B35" s="9">
        <f>B18</f>
        <v/>
      </c>
      <c r="C35" s="6" t="inlineStr">
        <is>
          <t>Auto-calcule selon duree</t>
        </is>
      </c>
    </row>
    <row r="36">
      <c r="A36" s="5" t="inlineStr">
        <is>
          <t>Coefficient activite applique</t>
        </is>
      </c>
      <c r="B36" s="9">
        <f>B19</f>
        <v/>
      </c>
      <c r="C36" s="6" t="inlineStr">
        <is>
          <t>Selon type d'activite</t>
        </is>
      </c>
    </row>
    <row r="37">
      <c r="A37" s="5" t="inlineStr">
        <is>
          <t>Coefficient situation applique</t>
        </is>
      </c>
      <c r="B37" s="9">
        <f>B20</f>
        <v/>
      </c>
      <c r="C37" s="6" t="inlineStr">
        <is>
          <t>Selon localisation</t>
        </is>
      </c>
    </row>
    <row r="38">
      <c r="A38" s="22" t="inlineStr">
        <is>
          <t>INDEMNITE AJUSTEE</t>
        </is>
      </c>
      <c r="B38" s="23">
        <f>B45*B46*B47*B48</f>
        <v/>
      </c>
      <c r="C38" s="6" t="inlineStr">
        <is>
          <t>Brute x 3 coefficients</t>
        </is>
      </c>
    </row>
    <row r="39">
      <c r="A39" s="34" t="inlineStr">
        <is>
          <t>PLAFOND LEGAL (2 ans CA)</t>
        </is>
      </c>
      <c r="B39" s="28">
        <f>B3*2</f>
        <v/>
      </c>
      <c r="C39" s="6" t="inlineStr">
        <is>
          <t>Jurisprudence constante</t>
        </is>
      </c>
    </row>
    <row r="40">
      <c r="A40" s="25" t="inlineStr">
        <is>
          <t>INDEMNITE FINALE</t>
        </is>
      </c>
      <c r="B40" s="43">
        <f>MIN(B49,B50)</f>
        <v/>
      </c>
      <c r="C40" s="6" t="inlineStr">
        <is>
          <t>Montant retenu</t>
        </is>
      </c>
    </row>
  </sheetData>
  <mergeCells count="4">
    <mergeCell ref="A2:E2"/>
    <mergeCell ref="A1:E1"/>
    <mergeCell ref="A4:E4"/>
    <mergeCell ref="A26:E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2026-07-09T11:28:53Z</dcterms:created>
  <dcterms:modified xmlns:dcterms="http://purl.org/dc/terms/" xmlns:xsi="http://www.w3.org/2001/XMLSchema-instance" xsi:type="dcterms:W3CDTF">2026-07-09T11:32:32Z</dcterms:modified>
</cp:coreProperties>
</file>